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hit Bhagat\Documents\AtombergApp\"/>
    </mc:Choice>
  </mc:AlternateContent>
  <xr:revisionPtr revIDLastSave="0" documentId="13_ncr:1_{D55D1F54-261F-438D-8B8D-CBD654C2C34E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  <sheet name="MArketPlace" sheetId="2" r:id="rId2"/>
  </sheets>
  <definedNames>
    <definedName name="_xlnm._FilterDatabase" localSheetId="0" hidden="1">Sheet1!$A$1:$D$28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C28" i="1"/>
  <c r="B28" i="1"/>
</calcChain>
</file>

<file path=xl/sharedStrings.xml><?xml version="1.0" encoding="utf-8"?>
<sst xmlns="http://schemas.openxmlformats.org/spreadsheetml/2006/main" count="43" uniqueCount="43">
  <si>
    <t>screen</t>
  </si>
  <si>
    <t>events</t>
  </si>
  <si>
    <t>users</t>
  </si>
  <si>
    <t>ForgotPasswordScreen</t>
  </si>
  <si>
    <t>MPAddToCartEvent</t>
  </si>
  <si>
    <t>ShareStoryButtonPressed</t>
  </si>
  <si>
    <t>MPLoginScreen</t>
  </si>
  <si>
    <t>MPOrderListScreen</t>
  </si>
  <si>
    <t>MPCheckoutScreen</t>
  </si>
  <si>
    <t>MPAddressManageScreen</t>
  </si>
  <si>
    <t>MPAddEditAddressScreen</t>
  </si>
  <si>
    <t>MPCouponCodeScreen</t>
  </si>
  <si>
    <t>MPOrderDetailsScreen</t>
  </si>
  <si>
    <t>MPEditProfileScreen</t>
  </si>
  <si>
    <t>HelpScreen</t>
  </si>
  <si>
    <t>MainScreen</t>
  </si>
  <si>
    <t>RemoteScreen</t>
  </si>
  <si>
    <t>AnalyticsScreen</t>
  </si>
  <si>
    <t>SignInSignUpScreen</t>
  </si>
  <si>
    <t>GuestRemoteScreen</t>
  </si>
  <si>
    <t>GuestMainScreen</t>
  </si>
  <si>
    <t>WaterPurifierScreen</t>
  </si>
  <si>
    <t>LiveWidgetEnabled</t>
  </si>
  <si>
    <t>WaterPurifierSettingsScreen</t>
  </si>
  <si>
    <t>LockScreen</t>
  </si>
  <si>
    <t>MicScreen</t>
  </si>
  <si>
    <t>TroubleshootChooseFanScreen</t>
  </si>
  <si>
    <t>TroubleshootOnlyRemoteScreen</t>
  </si>
  <si>
    <t>TroubleshootHomeScreen</t>
  </si>
  <si>
    <t>HomeManagementScreen</t>
  </si>
  <si>
    <t>WaterPurifierHealthScreen</t>
  </si>
  <si>
    <t>TroubleshootBarcodeScreen</t>
  </si>
  <si>
    <t>WaterPurifierDiagnosticsScreen</t>
  </si>
  <si>
    <t>WaterPurifierHelpScreen</t>
  </si>
  <si>
    <t>SignUpScreen</t>
  </si>
  <si>
    <t>LockHistoryScreen</t>
  </si>
  <si>
    <t>LiveWidgetDisabled</t>
  </si>
  <si>
    <t>MPHomeScreen</t>
  </si>
  <si>
    <t>MPProductDetailsScreen</t>
  </si>
  <si>
    <t>SignInScreen</t>
  </si>
  <si>
    <t>MPCartScreen</t>
  </si>
  <si>
    <t>MPUserProfileScreen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</si>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</sst>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7" sqref="C7"/>
    </sheetView>
  </sheetViews>
  <sheetFormatPr defaultRowHeight="15" x14ac:dyDescent="0.25"/>
  <cols>
    <col min="1" max="1" width="30.7109375" bestFit="1" customWidth="1"/>
    <col min="2" max="2" width="8" bestFit="1" customWidth="1"/>
    <col min="3" max="3" width="19.28515625" customWidth="1"/>
    <col min="4" max="4" width="1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42</v>
      </c>
    </row>
    <row r="2" spans="1:4" x14ac:dyDescent="0.25">
      <c r="A2" t="s">
        <v>3</v>
      </c>
      <c r="B2">
        <v>330</v>
      </c>
      <c r="C2">
        <v>232</v>
      </c>
      <c r="D2" s="1">
        <f>(B2/$B$28)*100</f>
        <v>1.0245071422118364E-2</v>
      </c>
    </row>
    <row r="3" spans="1:4" x14ac:dyDescent="0.25">
      <c r="A3" t="s">
        <v>5</v>
      </c>
      <c r="B3">
        <v>264</v>
      </c>
      <c r="C3">
        <v>240</v>
      </c>
      <c r="D3" s="1">
        <f t="shared" ref="D3:D27" si="0">(B3/$B$28)*100</f>
        <v>8.1960571376946921E-3</v>
      </c>
    </row>
    <row r="4" spans="1:4" x14ac:dyDescent="0.25">
      <c r="A4" t="s">
        <v>14</v>
      </c>
      <c r="B4">
        <v>1</v>
      </c>
      <c r="C4">
        <v>1</v>
      </c>
      <c r="D4" s="1">
        <f t="shared" si="0"/>
        <v>3.1045670976116253E-5</v>
      </c>
    </row>
    <row r="5" spans="1:4" x14ac:dyDescent="0.25">
      <c r="A5" t="s">
        <v>15</v>
      </c>
      <c r="B5">
        <v>1353597</v>
      </c>
      <c r="C5">
        <v>136654</v>
      </c>
      <c r="D5" s="1">
        <f t="shared" si="0"/>
        <v>42.023327096258036</v>
      </c>
    </row>
    <row r="6" spans="1:4" x14ac:dyDescent="0.25">
      <c r="A6" t="s">
        <v>16</v>
      </c>
      <c r="B6">
        <v>1302068</v>
      </c>
      <c r="C6">
        <v>87649</v>
      </c>
      <c r="D6" s="1">
        <f t="shared" si="0"/>
        <v>40.423574716529743</v>
      </c>
    </row>
    <row r="7" spans="1:4" x14ac:dyDescent="0.25">
      <c r="A7" t="s">
        <v>17</v>
      </c>
      <c r="B7">
        <v>136079</v>
      </c>
      <c r="C7">
        <v>41476</v>
      </c>
      <c r="D7" s="1">
        <f t="shared" si="0"/>
        <v>4.2246638607589242</v>
      </c>
    </row>
    <row r="8" spans="1:4" x14ac:dyDescent="0.25">
      <c r="A8" t="s">
        <v>18</v>
      </c>
      <c r="B8">
        <v>76424</v>
      </c>
      <c r="C8">
        <v>52263</v>
      </c>
      <c r="D8" s="1">
        <f t="shared" si="0"/>
        <v>2.3726343586787086</v>
      </c>
    </row>
    <row r="9" spans="1:4" x14ac:dyDescent="0.25">
      <c r="A9" t="s">
        <v>19</v>
      </c>
      <c r="B9">
        <v>65853</v>
      </c>
      <c r="C9">
        <v>5723</v>
      </c>
      <c r="D9" s="1">
        <f t="shared" si="0"/>
        <v>2.0444505707901834</v>
      </c>
    </row>
    <row r="10" spans="1:4" x14ac:dyDescent="0.25">
      <c r="A10" t="s">
        <v>20</v>
      </c>
      <c r="B10">
        <v>62178</v>
      </c>
      <c r="C10">
        <v>15391</v>
      </c>
      <c r="D10" s="1">
        <f t="shared" si="0"/>
        <v>1.9303577299529566</v>
      </c>
    </row>
    <row r="11" spans="1:4" x14ac:dyDescent="0.25">
      <c r="A11" t="s">
        <v>21</v>
      </c>
      <c r="B11">
        <v>48880</v>
      </c>
      <c r="C11">
        <v>4542</v>
      </c>
      <c r="D11" s="1">
        <f t="shared" si="0"/>
        <v>1.5175123973125626</v>
      </c>
    </row>
    <row r="12" spans="1:4" x14ac:dyDescent="0.25">
      <c r="A12" t="s">
        <v>22</v>
      </c>
      <c r="B12">
        <v>27318</v>
      </c>
      <c r="C12">
        <v>17086</v>
      </c>
      <c r="D12" s="1">
        <f t="shared" si="0"/>
        <v>0.84810563972554398</v>
      </c>
    </row>
    <row r="13" spans="1:4" x14ac:dyDescent="0.25">
      <c r="A13" t="s">
        <v>23</v>
      </c>
      <c r="B13">
        <v>26351</v>
      </c>
      <c r="C13">
        <v>3668</v>
      </c>
      <c r="D13" s="1">
        <f t="shared" si="0"/>
        <v>0.81808447589163946</v>
      </c>
    </row>
    <row r="14" spans="1:4" x14ac:dyDescent="0.25">
      <c r="A14" t="s">
        <v>24</v>
      </c>
      <c r="B14">
        <v>24791</v>
      </c>
      <c r="C14">
        <v>4709</v>
      </c>
      <c r="D14" s="1">
        <f t="shared" si="0"/>
        <v>0.76965322916889811</v>
      </c>
    </row>
    <row r="15" spans="1:4" x14ac:dyDescent="0.25">
      <c r="A15" t="s">
        <v>25</v>
      </c>
      <c r="B15">
        <v>20784</v>
      </c>
      <c r="C15">
        <v>8878</v>
      </c>
      <c r="D15" s="1">
        <f t="shared" si="0"/>
        <v>0.64525322556760023</v>
      </c>
    </row>
    <row r="16" spans="1:4" x14ac:dyDescent="0.25">
      <c r="A16" t="s">
        <v>26</v>
      </c>
      <c r="B16">
        <v>16931</v>
      </c>
      <c r="C16">
        <v>11391</v>
      </c>
      <c r="D16" s="1">
        <f t="shared" si="0"/>
        <v>0.52563425529662433</v>
      </c>
    </row>
    <row r="17" spans="1:4" x14ac:dyDescent="0.25">
      <c r="A17" t="s">
        <v>27</v>
      </c>
      <c r="B17">
        <v>7</v>
      </c>
      <c r="C17">
        <v>1</v>
      </c>
      <c r="D17" s="1">
        <f t="shared" si="0"/>
        <v>2.1731969683281378E-4</v>
      </c>
    </row>
    <row r="18" spans="1:4" x14ac:dyDescent="0.25">
      <c r="A18" t="s">
        <v>28</v>
      </c>
      <c r="B18">
        <v>16085</v>
      </c>
      <c r="C18">
        <v>11867</v>
      </c>
      <c r="D18" s="1">
        <f t="shared" si="0"/>
        <v>0.49936961765082999</v>
      </c>
    </row>
    <row r="19" spans="1:4" x14ac:dyDescent="0.25">
      <c r="A19" t="s">
        <v>29</v>
      </c>
      <c r="B19">
        <v>12392</v>
      </c>
      <c r="C19">
        <v>8527</v>
      </c>
      <c r="D19" s="1">
        <f t="shared" si="0"/>
        <v>0.38471795473603265</v>
      </c>
    </row>
    <row r="20" spans="1:4" x14ac:dyDescent="0.25">
      <c r="A20" t="s">
        <v>30</v>
      </c>
      <c r="B20">
        <v>5150</v>
      </c>
      <c r="C20">
        <v>1633</v>
      </c>
      <c r="D20" s="1">
        <f t="shared" si="0"/>
        <v>0.15988520552699872</v>
      </c>
    </row>
    <row r="21" spans="1:4" x14ac:dyDescent="0.25">
      <c r="A21" t="s">
        <v>31</v>
      </c>
      <c r="B21">
        <v>4515</v>
      </c>
      <c r="C21">
        <v>2972</v>
      </c>
      <c r="D21" s="1">
        <f t="shared" si="0"/>
        <v>0.14017120445716488</v>
      </c>
    </row>
    <row r="22" spans="1:4" x14ac:dyDescent="0.25">
      <c r="A22" t="s">
        <v>32</v>
      </c>
      <c r="B22">
        <v>4515</v>
      </c>
      <c r="C22">
        <v>1137</v>
      </c>
      <c r="D22" s="1">
        <f t="shared" si="0"/>
        <v>0.14017120445716488</v>
      </c>
    </row>
    <row r="23" spans="1:4" x14ac:dyDescent="0.25">
      <c r="A23" t="s">
        <v>33</v>
      </c>
      <c r="B23">
        <v>4385</v>
      </c>
      <c r="C23">
        <v>1862</v>
      </c>
      <c r="D23" s="1">
        <f t="shared" si="0"/>
        <v>0.13613526723026978</v>
      </c>
    </row>
    <row r="24" spans="1:4" x14ac:dyDescent="0.25">
      <c r="A24" t="s">
        <v>34</v>
      </c>
      <c r="B24">
        <v>3899</v>
      </c>
      <c r="C24">
        <v>3070</v>
      </c>
      <c r="D24" s="1">
        <f t="shared" si="0"/>
        <v>0.12104707113587729</v>
      </c>
    </row>
    <row r="25" spans="1:4" x14ac:dyDescent="0.25">
      <c r="A25" t="s">
        <v>35</v>
      </c>
      <c r="B25">
        <v>3698</v>
      </c>
      <c r="C25">
        <v>1644</v>
      </c>
      <c r="D25" s="1">
        <f t="shared" si="0"/>
        <v>0.11480689126967791</v>
      </c>
    </row>
    <row r="26" spans="1:4" x14ac:dyDescent="0.25">
      <c r="A26" t="s">
        <v>36</v>
      </c>
      <c r="B26">
        <v>3034</v>
      </c>
      <c r="C26">
        <v>2326</v>
      </c>
      <c r="D26" s="1">
        <f t="shared" si="0"/>
        <v>9.4192565741536713E-2</v>
      </c>
    </row>
    <row r="27" spans="1:4" x14ac:dyDescent="0.25">
      <c r="A27" t="s">
        <v>39</v>
      </c>
      <c r="B27">
        <v>1532</v>
      </c>
      <c r="C27">
        <v>878</v>
      </c>
      <c r="D27" s="1">
        <f t="shared" si="0"/>
        <v>4.75619679354101E-2</v>
      </c>
    </row>
    <row r="28" spans="1:4" x14ac:dyDescent="0.25">
      <c r="B28">
        <f>SUM(B2:B27)</f>
        <v>3221061</v>
      </c>
      <c r="C28">
        <f>SUM(C2:C27)</f>
        <v>425820</v>
      </c>
    </row>
  </sheetData>
  <autoFilter ref="A1:D2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A24B-74B8-47B8-9F08-2A52101FA52D}">
  <dimension ref="A2:D14"/>
  <sheetViews>
    <sheetView workbookViewId="0">
      <selection activeCell="A20" sqref="A20"/>
    </sheetView>
  </sheetViews>
  <sheetFormatPr defaultRowHeight="15" x14ac:dyDescent="0.25"/>
  <cols>
    <col min="1" max="1" width="24.42578125" bestFit="1" customWidth="1"/>
  </cols>
  <sheetData>
    <row r="2" spans="1:4" x14ac:dyDescent="0.25">
      <c r="A2" t="s">
        <v>4</v>
      </c>
      <c r="B2">
        <v>283</v>
      </c>
      <c r="C2">
        <v>131</v>
      </c>
      <c r="D2">
        <v>8.7641061850434188E-3</v>
      </c>
    </row>
    <row r="3" spans="1:4" x14ac:dyDescent="0.25">
      <c r="A3" t="s">
        <v>6</v>
      </c>
      <c r="B3">
        <v>150</v>
      </c>
      <c r="C3">
        <v>121</v>
      </c>
      <c r="D3">
        <v>4.6452859638039315E-3</v>
      </c>
    </row>
    <row r="4" spans="1:4" x14ac:dyDescent="0.25">
      <c r="A4" t="s">
        <v>7</v>
      </c>
      <c r="B4">
        <v>117</v>
      </c>
      <c r="C4">
        <v>40</v>
      </c>
      <c r="D4">
        <v>3.6233230517670671E-3</v>
      </c>
    </row>
    <row r="5" spans="1:4" x14ac:dyDescent="0.25">
      <c r="A5" t="s">
        <v>8</v>
      </c>
      <c r="B5">
        <v>115</v>
      </c>
      <c r="C5">
        <v>51</v>
      </c>
      <c r="D5">
        <v>3.5613859055830146E-3</v>
      </c>
    </row>
    <row r="6" spans="1:4" x14ac:dyDescent="0.25">
      <c r="A6" t="s">
        <v>9</v>
      </c>
      <c r="B6">
        <v>80</v>
      </c>
      <c r="C6">
        <v>65</v>
      </c>
      <c r="D6">
        <v>2.4774858473620969E-3</v>
      </c>
    </row>
    <row r="7" spans="1:4" x14ac:dyDescent="0.25">
      <c r="A7" t="s">
        <v>10</v>
      </c>
      <c r="B7">
        <v>75</v>
      </c>
      <c r="C7">
        <v>52</v>
      </c>
      <c r="D7">
        <v>2.3226429819019657E-3</v>
      </c>
    </row>
    <row r="8" spans="1:4" x14ac:dyDescent="0.25">
      <c r="A8" t="s">
        <v>11</v>
      </c>
      <c r="B8">
        <v>70</v>
      </c>
      <c r="C8">
        <v>46</v>
      </c>
      <c r="D8">
        <v>2.167800116441835E-3</v>
      </c>
    </row>
    <row r="9" spans="1:4" x14ac:dyDescent="0.25">
      <c r="A9" t="s">
        <v>12</v>
      </c>
      <c r="B9">
        <v>39</v>
      </c>
      <c r="C9">
        <v>14</v>
      </c>
      <c r="D9">
        <v>1.2077743505890222E-3</v>
      </c>
    </row>
    <row r="10" spans="1:4" x14ac:dyDescent="0.25">
      <c r="A10" t="s">
        <v>13</v>
      </c>
      <c r="B10">
        <v>17</v>
      </c>
      <c r="C10">
        <v>16</v>
      </c>
      <c r="D10">
        <v>5.2646574256444564E-4</v>
      </c>
    </row>
    <row r="11" spans="1:4" x14ac:dyDescent="0.25">
      <c r="A11" t="s">
        <v>37</v>
      </c>
      <c r="B11">
        <v>2674</v>
      </c>
      <c r="C11">
        <v>1921</v>
      </c>
      <c r="D11">
        <v>8.2809964448078088E-2</v>
      </c>
    </row>
    <row r="12" spans="1:4" x14ac:dyDescent="0.25">
      <c r="A12" t="s">
        <v>38</v>
      </c>
      <c r="B12">
        <v>2276</v>
      </c>
      <c r="C12">
        <v>920</v>
      </c>
      <c r="D12">
        <v>7.0484472357451658E-2</v>
      </c>
    </row>
    <row r="13" spans="1:4" x14ac:dyDescent="0.25">
      <c r="A13" t="s">
        <v>40</v>
      </c>
      <c r="B13">
        <v>1147</v>
      </c>
      <c r="C13">
        <v>603</v>
      </c>
      <c r="D13">
        <v>3.5520953336554063E-2</v>
      </c>
    </row>
    <row r="14" spans="1:4" x14ac:dyDescent="0.25">
      <c r="A14" t="s">
        <v>41</v>
      </c>
      <c r="B14">
        <v>976</v>
      </c>
      <c r="C14">
        <v>557</v>
      </c>
      <c r="D14">
        <v>3.0225327337817583E-2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MArketPlace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Bhagat</dc:creator>
  <cp:lastModifiedBy>IoT Testing</cp:lastModifiedBy>
  <dcterms:created xsi:type="dcterms:W3CDTF">2015-06-05T18:17:20Z</dcterms:created>
  <dcterms:modified xsi:type="dcterms:W3CDTF">2025-09-08T05:33:37Z</dcterms:modified>
</cp:coreProperties>
</file>